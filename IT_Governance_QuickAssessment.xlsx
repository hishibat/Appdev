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Form" sheetId="1" state="visible" r:id="rId1"/>
    <sheet name="Analysis_Internal" sheetId="2" state="visible" r:id="rId2"/>
    <sheet name="DB_AllRespo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9">
    <font>
      <name val="Calibri"/>
      <family val="2"/>
      <color theme="1"/>
      <sz val="11"/>
      <scheme val="minor"/>
    </font>
    <font>
      <b val="1"/>
      <color rgb="00366092"/>
      <sz val="16"/>
    </font>
    <font>
      <b val="1"/>
    </font>
    <font>
      <b val="1"/>
      <color rgb="00FFFFFF"/>
      <sz val="12"/>
    </font>
    <font>
      <b val="1"/>
      <sz val="11"/>
    </font>
    <font>
      <i val="1"/>
      <color rgb="00C65911"/>
    </font>
    <font>
      <b val="1"/>
      <color rgb="00C65911"/>
      <sz val="11"/>
    </font>
    <font>
      <b val="1"/>
      <color rgb="0070AD47"/>
      <sz val="14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3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5" borderId="0" pivotButton="0" quotePrefix="0" xfId="0"/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3" fillId="6" borderId="0" pivotButton="0" quotePrefix="0" xfId="0"/>
    <xf numFmtId="2" fontId="0" fillId="0" borderId="0" pivotButton="0" quotePrefix="0" xfId="0"/>
    <xf numFmtId="0" fontId="8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50" customWidth="1" min="4" max="4"/>
    <col width="15" customWidth="1" min="5" max="5"/>
  </cols>
  <sheetData>
    <row r="1">
      <c r="A1" s="1" t="inlineStr">
        <is>
          <t>IT Governance Quick Assessment Tool</t>
        </is>
      </c>
    </row>
    <row r="2">
      <c r="A2" t="inlineStr">
        <is>
          <t>本アセスメントは、貴社のITガバナンス成熟度を簡易的に診断するツールです</t>
        </is>
      </c>
    </row>
    <row r="4">
      <c r="A4" s="2" t="inlineStr">
        <is>
          <t>会社名:</t>
        </is>
      </c>
      <c r="B4" s="3" t="n"/>
    </row>
    <row r="5">
      <c r="A5" s="2" t="inlineStr">
        <is>
          <t>担当者名:</t>
        </is>
      </c>
      <c r="B5" s="3" t="n"/>
    </row>
    <row r="6">
      <c r="A6" s="2" t="inlineStr">
        <is>
          <t>実施日:</t>
        </is>
      </c>
      <c r="B6" s="4">
        <f>TODAY()</f>
        <v/>
      </c>
    </row>
    <row r="8">
      <c r="A8" s="5" t="inlineStr">
        <is>
          <t>アセスメント質問</t>
        </is>
      </c>
    </row>
    <row r="9">
      <c r="A9" s="6" t="inlineStr">
        <is>
          <t>No</t>
        </is>
      </c>
      <c r="B9" s="6" t="inlineStr">
        <is>
          <t>質問内容</t>
        </is>
      </c>
      <c r="C9" s="6" t="inlineStr">
        <is>
          <t>回答</t>
        </is>
      </c>
    </row>
    <row r="10" ht="30" customHeight="1">
      <c r="A10" s="7" t="n">
        <v>1</v>
      </c>
      <c r="B10" s="8" t="inlineStr">
        <is>
          <t>ITガバナンスの方針や戦略が明文化され、経営層に承認されている</t>
        </is>
      </c>
      <c r="C10" s="7" t="inlineStr"/>
    </row>
    <row r="11" ht="30" customHeight="1">
      <c r="A11" s="7" t="n">
        <v>2</v>
      </c>
      <c r="B11" s="8" t="inlineStr">
        <is>
          <t>IT投資の優先順位付けプロセスが確立され、事業目標と連携している</t>
        </is>
      </c>
      <c r="C11" s="7" t="inlineStr"/>
    </row>
    <row r="12" ht="30" customHeight="1">
      <c r="A12" s="7" t="n">
        <v>3</v>
      </c>
      <c r="B12" s="8" t="inlineStr">
        <is>
          <t>ITロードマップが定期的に見直され、最新の事業ニーズを反映している</t>
        </is>
      </c>
      <c r="C12" s="7" t="inlineStr"/>
    </row>
    <row r="13" ht="30" customHeight="1">
      <c r="A13" s="7" t="n">
        <v>4</v>
      </c>
      <c r="B13" s="8" t="inlineStr">
        <is>
          <t>IT部門のKPI/目標が事業目標と整合している</t>
        </is>
      </c>
      <c r="C13" s="7" t="inlineStr"/>
    </row>
    <row r="14" ht="30" customHeight="1">
      <c r="A14" s="7" t="n">
        <v>5</v>
      </c>
      <c r="B14" s="8" t="inlineStr">
        <is>
          <t>デジタル変革(DX)の戦略と実行計画が策定されている</t>
        </is>
      </c>
      <c r="C14" s="7" t="inlineStr"/>
    </row>
    <row r="15" ht="30" customHeight="1">
      <c r="A15" s="7" t="n">
        <v>6</v>
      </c>
      <c r="B15" s="8" t="inlineStr">
        <is>
          <t>IT部門の役割・責任が明確に定義されている</t>
        </is>
      </c>
      <c r="C15" s="7" t="inlineStr"/>
    </row>
    <row r="16" ht="30" customHeight="1">
      <c r="A16" s="7" t="n">
        <v>7</v>
      </c>
      <c r="B16" s="8" t="inlineStr">
        <is>
          <t>IT部門とビジネス部門の協働体制が構築されている</t>
        </is>
      </c>
      <c r="C16" s="7" t="inlineStr"/>
    </row>
    <row r="17" ht="30" customHeight="1">
      <c r="A17" s="7" t="n">
        <v>8</v>
      </c>
      <c r="B17" s="8" t="inlineStr">
        <is>
          <t>ITガバナンス委員会などの意思決定機関が機能している</t>
        </is>
      </c>
      <c r="C17" s="7" t="inlineStr"/>
    </row>
    <row r="18" ht="30" customHeight="1">
      <c r="A18" s="7" t="n">
        <v>9</v>
      </c>
      <c r="B18" s="8" t="inlineStr">
        <is>
          <t>IT人材の育成・評価制度が整備されている</t>
        </is>
      </c>
      <c r="C18" s="7" t="inlineStr"/>
    </row>
    <row r="19" ht="30" customHeight="1">
      <c r="A19" s="7" t="n">
        <v>10</v>
      </c>
      <c r="B19" s="8" t="inlineStr">
        <is>
          <t>重要なIT人材の後継者計画が策定されている</t>
        </is>
      </c>
      <c r="C19" s="7" t="inlineStr"/>
    </row>
    <row r="20" ht="30" customHeight="1">
      <c r="A20" s="7" t="n">
        <v>11</v>
      </c>
      <c r="B20" s="8" t="inlineStr">
        <is>
          <t>プロジェクト管理プロセス(PMO機能)が確立している</t>
        </is>
      </c>
      <c r="C20" s="7" t="inlineStr"/>
    </row>
    <row r="21" ht="30" customHeight="1">
      <c r="A21" s="7" t="n">
        <v>12</v>
      </c>
      <c r="B21" s="8" t="inlineStr">
        <is>
          <t>IT予算管理プロセスが適切に運用されている</t>
        </is>
      </c>
      <c r="C21" s="7" t="inlineStr"/>
    </row>
    <row r="22" ht="30" customHeight="1">
      <c r="A22" s="7" t="n">
        <v>13</v>
      </c>
      <c r="B22" s="8" t="inlineStr">
        <is>
          <t>ベンダー管理プロセスが確立している</t>
        </is>
      </c>
      <c r="C22" s="7" t="inlineStr"/>
    </row>
    <row r="23" ht="30" customHeight="1">
      <c r="A23" s="7" t="n">
        <v>14</v>
      </c>
      <c r="B23" s="8" t="inlineStr">
        <is>
          <t>IT資産管理プロセスが整備されている</t>
        </is>
      </c>
      <c r="C23" s="7" t="inlineStr"/>
    </row>
    <row r="24" ht="30" customHeight="1">
      <c r="A24" s="7" t="n">
        <v>15</v>
      </c>
      <c r="B24" s="8" t="inlineStr">
        <is>
          <t>変更管理プロセスが適切に機能している</t>
        </is>
      </c>
      <c r="C24" s="7" t="inlineStr"/>
    </row>
    <row r="25" ht="30" customHeight="1">
      <c r="A25" s="7" t="n">
        <v>16</v>
      </c>
      <c r="B25" s="8" t="inlineStr">
        <is>
          <t>ITリスク評価が定期的に実施されている</t>
        </is>
      </c>
      <c r="C25" s="7" t="inlineStr"/>
    </row>
    <row r="26" ht="30" customHeight="1">
      <c r="A26" s="7" t="n">
        <v>17</v>
      </c>
      <c r="B26" s="8" t="inlineStr">
        <is>
          <t>情報セキュリティポリシーが策定され、周知されている</t>
        </is>
      </c>
      <c r="C26" s="7" t="inlineStr"/>
    </row>
    <row r="27" ht="30" customHeight="1">
      <c r="A27" s="7" t="n">
        <v>18</v>
      </c>
      <c r="B27" s="8" t="inlineStr">
        <is>
          <t>事業継続計画(BCP/DR)が策定され、定期的にテストされている</t>
        </is>
      </c>
      <c r="C27" s="7" t="inlineStr"/>
    </row>
    <row r="28" ht="30" customHeight="1">
      <c r="A28" s="7" t="n">
        <v>19</v>
      </c>
      <c r="B28" s="8" t="inlineStr">
        <is>
          <t>コンプライアンス要件(個人情報保護法等)への対応が適切に実施されている</t>
        </is>
      </c>
      <c r="C28" s="7" t="inlineStr"/>
    </row>
    <row r="29" ht="30" customHeight="1">
      <c r="A29" s="7" t="n">
        <v>20</v>
      </c>
      <c r="B29" s="8" t="inlineStr">
        <is>
          <t>インシデント管理プロセスが確立している</t>
        </is>
      </c>
      <c r="C29" s="7" t="inlineStr"/>
    </row>
    <row r="30" ht="30" customHeight="1">
      <c r="A30" s="7" t="n">
        <v>21</v>
      </c>
      <c r="B30" s="8" t="inlineStr">
        <is>
          <t>ITサービスレベル(SLA)が定義され、モニタリングされている</t>
        </is>
      </c>
      <c r="C30" s="7" t="inlineStr"/>
    </row>
    <row r="31" ht="30" customHeight="1">
      <c r="A31" s="7" t="n">
        <v>22</v>
      </c>
      <c r="B31" s="8" t="inlineStr">
        <is>
          <t>システムパフォーマンスが定期的に測定・報告されている</t>
        </is>
      </c>
      <c r="C31" s="7" t="inlineStr"/>
    </row>
    <row r="32" ht="30" customHeight="1">
      <c r="A32" s="7" t="n">
        <v>23</v>
      </c>
      <c r="B32" s="8" t="inlineStr">
        <is>
          <t>IT投資効果(ROI)の測定と評価が実施されている</t>
        </is>
      </c>
      <c r="C32" s="7" t="inlineStr"/>
    </row>
    <row r="33" ht="30" customHeight="1">
      <c r="A33" s="7" t="n">
        <v>24</v>
      </c>
      <c r="B33" s="8" t="inlineStr">
        <is>
          <t>利用者満足度調査が定期的に実施されている</t>
        </is>
      </c>
      <c r="C33" s="7" t="inlineStr"/>
    </row>
    <row r="34" ht="30" customHeight="1">
      <c r="A34" s="7" t="n">
        <v>25</v>
      </c>
      <c r="B34" s="8" t="inlineStr">
        <is>
          <t>ITサービス改善の取り組みが継続的に行われている</t>
        </is>
      </c>
      <c r="C34" s="7" t="inlineStr"/>
    </row>
    <row r="36">
      <c r="A36" s="9" t="inlineStr">
        <is>
          <t>※ 全ての質問に回答後、VBAマクロの「集計ボタン」を実行してください</t>
        </is>
      </c>
    </row>
    <row r="38">
      <c r="D38" s="10" t="inlineStr">
        <is>
          <t>【 簡易診断結果 】</t>
        </is>
      </c>
    </row>
    <row r="39">
      <c r="D39" s="2" t="inlineStr">
        <is>
          <t>総合スコア:</t>
        </is>
      </c>
      <c r="E39" s="11">
        <f>Analysis_Internal!B2</f>
        <v/>
      </c>
    </row>
    <row r="40">
      <c r="D40" t="inlineStr">
        <is>
          <t>戦略:</t>
        </is>
      </c>
      <c r="E40" s="11">
        <f>Analysis_Internal!B3</f>
        <v/>
      </c>
    </row>
    <row r="41">
      <c r="D41" t="inlineStr">
        <is>
          <t>組織:</t>
        </is>
      </c>
      <c r="E41" s="11">
        <f>Analysis_Internal!B4</f>
        <v/>
      </c>
    </row>
    <row r="42">
      <c r="D42" t="inlineStr">
        <is>
          <t>プロセス:</t>
        </is>
      </c>
      <c r="E42" s="11">
        <f>Analysis_Internal!B5</f>
        <v/>
      </c>
    </row>
    <row r="43">
      <c r="D43" t="inlineStr">
        <is>
          <t>リスク:</t>
        </is>
      </c>
      <c r="E43" s="11">
        <f>Analysis_Internal!B6</f>
        <v/>
      </c>
    </row>
    <row r="44">
      <c r="D44" t="inlineStr">
        <is>
          <t>パフォーマンス:</t>
        </is>
      </c>
      <c r="E44" s="11">
        <f>Analysis_Internal!B7</f>
        <v/>
      </c>
    </row>
    <row r="46">
      <c r="D46" s="2" t="inlineStr">
        <is>
          <t>【 総合評価 】</t>
        </is>
      </c>
    </row>
    <row r="47">
      <c r="D47" s="12">
        <f>Analysis_Internal!B10</f>
        <v/>
      </c>
    </row>
    <row r="48"/>
    <row r="49"/>
  </sheetData>
  <mergeCells count="10">
    <mergeCell ref="B6:C6"/>
    <mergeCell ref="A36:C36"/>
    <mergeCell ref="D47:E49"/>
    <mergeCell ref="A2:E2"/>
    <mergeCell ref="B5:C5"/>
    <mergeCell ref="A8:C8"/>
    <mergeCell ref="D38:E38"/>
    <mergeCell ref="A1:E1"/>
    <mergeCell ref="D46:E46"/>
    <mergeCell ref="B4:C4"/>
  </mergeCells>
  <dataValidations count="1">
    <dataValidation sqref="C10 C11 C12 C13 C14 C15 C16 C17 C18 C19 C20 C21 C22 C23 C24 C25 C26 C27 C28 C29 C30 C31 C32 C33 C34" showDropDown="0" showInputMessage="0" showErrorMessage="0" allowBlank="1" promptTitle="回答選択" prompt="レベルを選択してください" type="list">
      <formula1>"Level 1,Level 2,Level 3,Level 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3" t="inlineStr">
        <is>
          <t>内部分析シート（コンサル専用）</t>
        </is>
      </c>
    </row>
    <row r="2">
      <c r="A2" s="14" t="inlineStr">
        <is>
          <t>総合スコア</t>
        </is>
      </c>
      <c r="B2" s="15">
        <f>AVERAGE(B3:B7)</f>
        <v/>
      </c>
      <c r="C2" t="inlineStr">
        <is>
          <t>全カテゴリの平均値</t>
        </is>
      </c>
    </row>
    <row r="3">
      <c r="A3" s="2" t="inlineStr">
        <is>
          <t>戦略スコア</t>
        </is>
      </c>
      <c r="B3" s="15">
        <f>AVERAGE(IF(Input_Form!C10="Level 1",1,IF(Input_Form!C10="Level 2",2,IF(Input_Form!C10="Level 3",3,IF(Input_Form!C10="Level 4",4,0)))),IF(Input_Form!C11="Level 1",1,IF(Input_Form!C11="Level 2",2,IF(Input_Form!C11="Level 3",3,IF(Input_Form!C11="Level 4",4,0)))),IF(Input_Form!C12="Level 1",1,IF(Input_Form!C12="Level 2",2,IF(Input_Form!C12="Level 3",3,IF(Input_Form!C12="Level 4",4,0)))),IF(Input_Form!C13="Level 1",1,IF(Input_Form!C13="Level 2",2,IF(Input_Form!C13="Level 3",3,IF(Input_Form!C13="Level 4",4,0)))),IF(Input_Form!C14="Level 1",1,IF(Input_Form!C14="Level 2",2,IF(Input_Form!C14="Level 3",3,IF(Input_Form!C14="Level 4",4,0)))))</f>
        <v/>
      </c>
      <c r="C3" t="inlineStr">
        <is>
          <t>戦略領域の質問（Q1-Q5）の平均</t>
        </is>
      </c>
    </row>
    <row r="4">
      <c r="A4" s="2" t="inlineStr">
        <is>
          <t>組織スコア</t>
        </is>
      </c>
      <c r="B4" s="15">
        <f>AVERAGE(IF(Input_Form!C15="Level 1",1,IF(Input_Form!C15="Level 2",2,IF(Input_Form!C15="Level 3",3,IF(Input_Form!C15="Level 4",4,0)))),IF(Input_Form!C16="Level 1",1,IF(Input_Form!C16="Level 2",2,IF(Input_Form!C16="Level 3",3,IF(Input_Form!C16="Level 4",4,0)))),IF(Input_Form!C17="Level 1",1,IF(Input_Form!C17="Level 2",2,IF(Input_Form!C17="Level 3",3,IF(Input_Form!C17="Level 4",4,0)))),IF(Input_Form!C18="Level 1",1,IF(Input_Form!C18="Level 2",2,IF(Input_Form!C18="Level 3",3,IF(Input_Form!C18="Level 4",4,0)))),IF(Input_Form!C19="Level 1",1,IF(Input_Form!C19="Level 2",2,IF(Input_Form!C19="Level 3",3,IF(Input_Form!C19="Level 4",4,0)))))</f>
        <v/>
      </c>
      <c r="C4" t="inlineStr">
        <is>
          <t>組織領域の質問（Q6-Q10）の平均</t>
        </is>
      </c>
    </row>
    <row r="5">
      <c r="A5" s="2" t="inlineStr">
        <is>
          <t>プロセススコア</t>
        </is>
      </c>
      <c r="B5" s="15">
        <f>AVERAGE(IF(Input_Form!C20="Level 1",1,IF(Input_Form!C20="Level 2",2,IF(Input_Form!C20="Level 3",3,IF(Input_Form!C20="Level 4",4,0)))),IF(Input_Form!C21="Level 1",1,IF(Input_Form!C21="Level 2",2,IF(Input_Form!C21="Level 3",3,IF(Input_Form!C21="Level 4",4,0)))),IF(Input_Form!C22="Level 1",1,IF(Input_Form!C22="Level 2",2,IF(Input_Form!C22="Level 3",3,IF(Input_Form!C22="Level 4",4,0)))),IF(Input_Form!C23="Level 1",1,IF(Input_Form!C23="Level 2",2,IF(Input_Form!C23="Level 3",3,IF(Input_Form!C23="Level 4",4,0)))),IF(Input_Form!C24="Level 1",1,IF(Input_Form!C24="Level 2",2,IF(Input_Form!C24="Level 3",3,IF(Input_Form!C24="Level 4",4,0)))))</f>
        <v/>
      </c>
      <c r="C5" t="inlineStr">
        <is>
          <t>プロセス領域の質問（Q11-Q15）の平均</t>
        </is>
      </c>
    </row>
    <row r="6">
      <c r="A6" s="2" t="inlineStr">
        <is>
          <t>リスクスコア</t>
        </is>
      </c>
      <c r="B6" s="15">
        <f>AVERAGE(IF(Input_Form!C25="Level 1",1,IF(Input_Form!C25="Level 2",2,IF(Input_Form!C25="Level 3",3,IF(Input_Form!C25="Level 4",4,0)))),IF(Input_Form!C26="Level 1",1,IF(Input_Form!C26="Level 2",2,IF(Input_Form!C26="Level 3",3,IF(Input_Form!C26="Level 4",4,0)))),IF(Input_Form!C27="Level 1",1,IF(Input_Form!C27="Level 2",2,IF(Input_Form!C27="Level 3",3,IF(Input_Form!C27="Level 4",4,0)))),IF(Input_Form!C28="Level 1",1,IF(Input_Form!C28="Level 2",2,IF(Input_Form!C28="Level 3",3,IF(Input_Form!C28="Level 4",4,0)))),IF(Input_Form!C29="Level 1",1,IF(Input_Form!C29="Level 2",2,IF(Input_Form!C29="Level 3",3,IF(Input_Form!C29="Level 4",4,0)))))</f>
        <v/>
      </c>
      <c r="C6" t="inlineStr">
        <is>
          <t>リスク領域の質問（Q16-Q20）の平均</t>
        </is>
      </c>
    </row>
    <row r="7">
      <c r="A7" s="2" t="inlineStr">
        <is>
          <t>パフォーマンススコア</t>
        </is>
      </c>
      <c r="B7" s="15">
        <f>AVERAGE(IF(Input_Form!C30="Level 1",1,IF(Input_Form!C30="Level 2",2,IF(Input_Form!C30="Level 3",3,IF(Input_Form!C30="Level 4",4,0)))),IF(Input_Form!C31="Level 1",1,IF(Input_Form!C31="Level 2",2,IF(Input_Form!C31="Level 3",3,IF(Input_Form!C31="Level 4",4,0)))),IF(Input_Form!C32="Level 1",1,IF(Input_Form!C32="Level 2",2,IF(Input_Form!C32="Level 3",3,IF(Input_Form!C32="Level 4",4,0)))),IF(Input_Form!C33="Level 1",1,IF(Input_Form!C33="Level 2",2,IF(Input_Form!C33="Level 3",3,IF(Input_Form!C33="Level 4",4,0)))),IF(Input_Form!C34="Level 1",1,IF(Input_Form!C34="Level 2",2,IF(Input_Form!C34="Level 3",3,IF(Input_Form!C34="Level 4",4,0)))))</f>
        <v/>
      </c>
      <c r="C7" t="inlineStr">
        <is>
          <t>パフォーマンス領域の質問（Q21-Q25）の平均</t>
        </is>
      </c>
    </row>
    <row r="9">
      <c r="A9" s="14" t="inlineStr">
        <is>
          <t>評価コメント</t>
        </is>
      </c>
    </row>
    <row r="10">
      <c r="B10" s="12">
        <f>IF(B2&gt;=3.5,"【優良レベル】ITガバナンス体制は十分に整備されています。継続的な改善を推奨します。",IF(B2&gt;=2.5,"【標準レベル】ITガバナンスの基本は整っていますが、一部改善の余地があります。特に低スコアの領域に注目してください。",IF(B2&gt;=1.5,"【改善必要】ITガバナンス体制に大きな改善が必要です。戦略的な取り組みをお勧めします。","【早急対応】ITガバナンスが未整備の状態です。早急な体制構築が必要です。")))</f>
        <v/>
      </c>
    </row>
    <row r="11"/>
    <row r="12"/>
    <row r="14">
      <c r="A14" s="14" t="inlineStr">
        <is>
          <t>詳細分析データ</t>
        </is>
      </c>
    </row>
    <row r="15">
      <c r="A15" s="2" t="inlineStr">
        <is>
          <t>質問No</t>
        </is>
      </c>
      <c r="B15" s="2" t="inlineStr">
        <is>
          <t>回答値</t>
        </is>
      </c>
      <c r="C15" s="2" t="inlineStr">
        <is>
          <t>回答テキスト</t>
        </is>
      </c>
    </row>
    <row r="16">
      <c r="A16" t="inlineStr">
        <is>
          <t>Q1</t>
        </is>
      </c>
      <c r="B16">
        <f>IF(Input_Form!C10="Level 1",1,IF(Input_Form!C10="Level 2",2,IF(Input_Form!C10="Level 3",3,IF(Input_Form!C10="Level 4",4,0))))</f>
        <v/>
      </c>
      <c r="C16">
        <f>Input_Form!C10</f>
        <v/>
      </c>
    </row>
    <row r="17">
      <c r="A17" t="inlineStr">
        <is>
          <t>Q2</t>
        </is>
      </c>
      <c r="B17">
        <f>IF(Input_Form!C11="Level 1",1,IF(Input_Form!C11="Level 2",2,IF(Input_Form!C11="Level 3",3,IF(Input_Form!C11="Level 4",4,0))))</f>
        <v/>
      </c>
      <c r="C17">
        <f>Input_Form!C11</f>
        <v/>
      </c>
    </row>
    <row r="18">
      <c r="A18" t="inlineStr">
        <is>
          <t>Q3</t>
        </is>
      </c>
      <c r="B18">
        <f>IF(Input_Form!C12="Level 1",1,IF(Input_Form!C12="Level 2",2,IF(Input_Form!C12="Level 3",3,IF(Input_Form!C12="Level 4",4,0))))</f>
        <v/>
      </c>
      <c r="C18">
        <f>Input_Form!C12</f>
        <v/>
      </c>
    </row>
    <row r="19">
      <c r="A19" t="inlineStr">
        <is>
          <t>Q4</t>
        </is>
      </c>
      <c r="B19">
        <f>IF(Input_Form!C13="Level 1",1,IF(Input_Form!C13="Level 2",2,IF(Input_Form!C13="Level 3",3,IF(Input_Form!C13="Level 4",4,0))))</f>
        <v/>
      </c>
      <c r="C19">
        <f>Input_Form!C13</f>
        <v/>
      </c>
    </row>
    <row r="20">
      <c r="A20" t="inlineStr">
        <is>
          <t>Q5</t>
        </is>
      </c>
      <c r="B20">
        <f>IF(Input_Form!C14="Level 1",1,IF(Input_Form!C14="Level 2",2,IF(Input_Form!C14="Level 3",3,IF(Input_Form!C14="Level 4",4,0))))</f>
        <v/>
      </c>
      <c r="C20">
        <f>Input_Form!C14</f>
        <v/>
      </c>
    </row>
    <row r="21">
      <c r="A21" t="inlineStr">
        <is>
          <t>Q6</t>
        </is>
      </c>
      <c r="B21">
        <f>IF(Input_Form!C15="Level 1",1,IF(Input_Form!C15="Level 2",2,IF(Input_Form!C15="Level 3",3,IF(Input_Form!C15="Level 4",4,0))))</f>
        <v/>
      </c>
      <c r="C21">
        <f>Input_Form!C15</f>
        <v/>
      </c>
    </row>
    <row r="22">
      <c r="A22" t="inlineStr">
        <is>
          <t>Q7</t>
        </is>
      </c>
      <c r="B22">
        <f>IF(Input_Form!C16="Level 1",1,IF(Input_Form!C16="Level 2",2,IF(Input_Form!C16="Level 3",3,IF(Input_Form!C16="Level 4",4,0))))</f>
        <v/>
      </c>
      <c r="C22">
        <f>Input_Form!C16</f>
        <v/>
      </c>
    </row>
    <row r="23">
      <c r="A23" t="inlineStr">
        <is>
          <t>Q8</t>
        </is>
      </c>
      <c r="B23">
        <f>IF(Input_Form!C17="Level 1",1,IF(Input_Form!C17="Level 2",2,IF(Input_Form!C17="Level 3",3,IF(Input_Form!C17="Level 4",4,0))))</f>
        <v/>
      </c>
      <c r="C23">
        <f>Input_Form!C17</f>
        <v/>
      </c>
    </row>
    <row r="24">
      <c r="A24" t="inlineStr">
        <is>
          <t>Q9</t>
        </is>
      </c>
      <c r="B24">
        <f>IF(Input_Form!C18="Level 1",1,IF(Input_Form!C18="Level 2",2,IF(Input_Form!C18="Level 3",3,IF(Input_Form!C18="Level 4",4,0))))</f>
        <v/>
      </c>
      <c r="C24">
        <f>Input_Form!C18</f>
        <v/>
      </c>
    </row>
    <row r="25">
      <c r="A25" t="inlineStr">
        <is>
          <t>Q10</t>
        </is>
      </c>
      <c r="B25">
        <f>IF(Input_Form!C19="Level 1",1,IF(Input_Form!C19="Level 2",2,IF(Input_Form!C19="Level 3",3,IF(Input_Form!C19="Level 4",4,0))))</f>
        <v/>
      </c>
      <c r="C25">
        <f>Input_Form!C19</f>
        <v/>
      </c>
    </row>
    <row r="26">
      <c r="A26" t="inlineStr">
        <is>
          <t>Q11</t>
        </is>
      </c>
      <c r="B26">
        <f>IF(Input_Form!C20="Level 1",1,IF(Input_Form!C20="Level 2",2,IF(Input_Form!C20="Level 3",3,IF(Input_Form!C20="Level 4",4,0))))</f>
        <v/>
      </c>
      <c r="C26">
        <f>Input_Form!C20</f>
        <v/>
      </c>
    </row>
    <row r="27">
      <c r="A27" t="inlineStr">
        <is>
          <t>Q12</t>
        </is>
      </c>
      <c r="B27">
        <f>IF(Input_Form!C21="Level 1",1,IF(Input_Form!C21="Level 2",2,IF(Input_Form!C21="Level 3",3,IF(Input_Form!C21="Level 4",4,0))))</f>
        <v/>
      </c>
      <c r="C27">
        <f>Input_Form!C21</f>
        <v/>
      </c>
    </row>
    <row r="28">
      <c r="A28" t="inlineStr">
        <is>
          <t>Q13</t>
        </is>
      </c>
      <c r="B28">
        <f>IF(Input_Form!C22="Level 1",1,IF(Input_Form!C22="Level 2",2,IF(Input_Form!C22="Level 3",3,IF(Input_Form!C22="Level 4",4,0))))</f>
        <v/>
      </c>
      <c r="C28">
        <f>Input_Form!C22</f>
        <v/>
      </c>
    </row>
    <row r="29">
      <c r="A29" t="inlineStr">
        <is>
          <t>Q14</t>
        </is>
      </c>
      <c r="B29">
        <f>IF(Input_Form!C23="Level 1",1,IF(Input_Form!C23="Level 2",2,IF(Input_Form!C23="Level 3",3,IF(Input_Form!C23="Level 4",4,0))))</f>
        <v/>
      </c>
      <c r="C29">
        <f>Input_Form!C23</f>
        <v/>
      </c>
    </row>
    <row r="30">
      <c r="A30" t="inlineStr">
        <is>
          <t>Q15</t>
        </is>
      </c>
      <c r="B30">
        <f>IF(Input_Form!C24="Level 1",1,IF(Input_Form!C24="Level 2",2,IF(Input_Form!C24="Level 3",3,IF(Input_Form!C24="Level 4",4,0))))</f>
        <v/>
      </c>
      <c r="C30">
        <f>Input_Form!C24</f>
        <v/>
      </c>
    </row>
    <row r="31">
      <c r="A31" t="inlineStr">
        <is>
          <t>Q16</t>
        </is>
      </c>
      <c r="B31">
        <f>IF(Input_Form!C25="Level 1",1,IF(Input_Form!C25="Level 2",2,IF(Input_Form!C25="Level 3",3,IF(Input_Form!C25="Level 4",4,0))))</f>
        <v/>
      </c>
      <c r="C31">
        <f>Input_Form!C25</f>
        <v/>
      </c>
    </row>
    <row r="32">
      <c r="A32" t="inlineStr">
        <is>
          <t>Q17</t>
        </is>
      </c>
      <c r="B32">
        <f>IF(Input_Form!C26="Level 1",1,IF(Input_Form!C26="Level 2",2,IF(Input_Form!C26="Level 3",3,IF(Input_Form!C26="Level 4",4,0))))</f>
        <v/>
      </c>
      <c r="C32">
        <f>Input_Form!C26</f>
        <v/>
      </c>
    </row>
    <row r="33">
      <c r="A33" t="inlineStr">
        <is>
          <t>Q18</t>
        </is>
      </c>
      <c r="B33">
        <f>IF(Input_Form!C27="Level 1",1,IF(Input_Form!C27="Level 2",2,IF(Input_Form!C27="Level 3",3,IF(Input_Form!C27="Level 4",4,0))))</f>
        <v/>
      </c>
      <c r="C33">
        <f>Input_Form!C27</f>
        <v/>
      </c>
    </row>
    <row r="34">
      <c r="A34" t="inlineStr">
        <is>
          <t>Q19</t>
        </is>
      </c>
      <c r="B34">
        <f>IF(Input_Form!C28="Level 1",1,IF(Input_Form!C28="Level 2",2,IF(Input_Form!C28="Level 3",3,IF(Input_Form!C28="Level 4",4,0))))</f>
        <v/>
      </c>
      <c r="C34">
        <f>Input_Form!C28</f>
        <v/>
      </c>
    </row>
    <row r="35">
      <c r="A35" t="inlineStr">
        <is>
          <t>Q20</t>
        </is>
      </c>
      <c r="B35">
        <f>IF(Input_Form!C29="Level 1",1,IF(Input_Form!C29="Level 2",2,IF(Input_Form!C29="Level 3",3,IF(Input_Form!C29="Level 4",4,0))))</f>
        <v/>
      </c>
      <c r="C35">
        <f>Input_Form!C29</f>
        <v/>
      </c>
    </row>
    <row r="36">
      <c r="A36" t="inlineStr">
        <is>
          <t>Q21</t>
        </is>
      </c>
      <c r="B36">
        <f>IF(Input_Form!C30="Level 1",1,IF(Input_Form!C30="Level 2",2,IF(Input_Form!C30="Level 3",3,IF(Input_Form!C30="Level 4",4,0))))</f>
        <v/>
      </c>
      <c r="C36">
        <f>Input_Form!C30</f>
        <v/>
      </c>
    </row>
    <row r="37">
      <c r="A37" t="inlineStr">
        <is>
          <t>Q22</t>
        </is>
      </c>
      <c r="B37">
        <f>IF(Input_Form!C31="Level 1",1,IF(Input_Form!C31="Level 2",2,IF(Input_Form!C31="Level 3",3,IF(Input_Form!C31="Level 4",4,0))))</f>
        <v/>
      </c>
      <c r="C37">
        <f>Input_Form!C31</f>
        <v/>
      </c>
    </row>
    <row r="38">
      <c r="A38" t="inlineStr">
        <is>
          <t>Q23</t>
        </is>
      </c>
      <c r="B38">
        <f>IF(Input_Form!C32="Level 1",1,IF(Input_Form!C32="Level 2",2,IF(Input_Form!C32="Level 3",3,IF(Input_Form!C32="Level 4",4,0))))</f>
        <v/>
      </c>
      <c r="C38">
        <f>Input_Form!C32</f>
        <v/>
      </c>
    </row>
    <row r="39">
      <c r="A39" t="inlineStr">
        <is>
          <t>Q24</t>
        </is>
      </c>
      <c r="B39">
        <f>IF(Input_Form!C33="Level 1",1,IF(Input_Form!C33="Level 2",2,IF(Input_Form!C33="Level 3",3,IF(Input_Form!C33="Level 4",4,0))))</f>
        <v/>
      </c>
      <c r="C39">
        <f>Input_Form!C33</f>
        <v/>
      </c>
    </row>
    <row r="40">
      <c r="A40" t="inlineStr">
        <is>
          <t>Q25</t>
        </is>
      </c>
      <c r="B40">
        <f>IF(Input_Form!C34="Level 1",1,IF(Input_Form!C34="Level 2",2,IF(Input_Form!C34="Level 3",3,IF(Input_Form!C34="Level 4",4,0))))</f>
        <v/>
      </c>
      <c r="C40">
        <f>Input_Form!C34</f>
        <v/>
      </c>
    </row>
  </sheetData>
  <mergeCells count="3">
    <mergeCell ref="A1:C1"/>
    <mergeCell ref="B10:C12"/>
    <mergeCell ref="A14:C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6" t="inlineStr">
        <is>
          <t>日付</t>
        </is>
      </c>
      <c r="B1" s="16" t="inlineStr">
        <is>
          <t>会社名</t>
        </is>
      </c>
      <c r="C1" s="16" t="inlineStr">
        <is>
          <t>担当者</t>
        </is>
      </c>
      <c r="D1" s="16" t="inlineStr">
        <is>
          <t>総合スコア</t>
        </is>
      </c>
      <c r="E1" s="16" t="inlineStr">
        <is>
          <t>戦略</t>
        </is>
      </c>
      <c r="F1" s="16" t="inlineStr">
        <is>
          <t>組織</t>
        </is>
      </c>
      <c r="G1" s="16" t="inlineStr">
        <is>
          <t>プロセス</t>
        </is>
      </c>
      <c r="H1" s="16" t="inlineStr">
        <is>
          <t>リスク</t>
        </is>
      </c>
      <c r="I1" s="16" t="inlineStr">
        <is>
          <t>パフォーマンス</t>
        </is>
      </c>
    </row>
    <row r="2">
      <c r="A2" t="inlineStr">
        <is>
          <t>※ VBAマクロで自動追記されます</t>
        </is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2025-11-13T09:26:19Z</dcterms:created>
  <dcterms:modified xsi:type="dcterms:W3CDTF">2025-11-13T09:26:19Z</dcterms:modified>
</cp:coreProperties>
</file>